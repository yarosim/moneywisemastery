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True Cost" sheetId="1" state="visible" r:id="rId1"/>
    <sheet xmlns:r="http://schemas.openxmlformats.org/officeDocument/2006/relationships" name="Term Compare" sheetId="2" state="visible" r:id="rId2"/>
    <sheet xmlns:r="http://schemas.openxmlformats.org/officeDocument/2006/relationships" name="Price Check" sheetId="3" state="visible" r:id="rId3"/>
    <sheet xmlns:r="http://schemas.openxmlformats.org/officeDocument/2006/relationships" name="Monthly 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4" fontId="0" fillId="3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Car-Payment True-Cost Calculator (yellow = your inputs)</t>
        </is>
      </c>
    </row>
    <row r="2">
      <c r="A2" s="2" t="inlineStr">
        <is>
          <t>Educational only. Not financial advice. Figures are illustrations from your own inputs; no returns or savings are guaranteed.</t>
        </is>
      </c>
    </row>
    <row r="4">
      <c r="A4" t="inlineStr">
        <is>
          <t>Vehicle price ($)</t>
        </is>
      </c>
      <c r="B4" s="3" t="n">
        <v>35000</v>
      </c>
    </row>
    <row r="5">
      <c r="A5" t="inlineStr">
        <is>
          <t>Down payment ($)</t>
        </is>
      </c>
      <c r="B5" s="3" t="n">
        <v>3000</v>
      </c>
    </row>
    <row r="6">
      <c r="A6" t="inlineStr">
        <is>
          <t>Trade-in value ($)</t>
        </is>
      </c>
      <c r="B6" s="3" t="n">
        <v>0</v>
      </c>
    </row>
    <row r="7">
      <c r="A7" t="inlineStr">
        <is>
          <t>Sales tax rate (%)</t>
        </is>
      </c>
      <c r="B7" s="3" t="n">
        <v>6</v>
      </c>
    </row>
    <row r="8">
      <c r="A8" t="inlineStr">
        <is>
          <t>Fees: title, registration, doc ($)</t>
        </is>
      </c>
      <c r="B8" s="3" t="n">
        <v>800</v>
      </c>
    </row>
    <row r="9">
      <c r="A9" t="inlineStr">
        <is>
          <t>Loan APR (%)</t>
        </is>
      </c>
      <c r="B9" s="3" t="n">
        <v>7.5</v>
      </c>
    </row>
    <row r="10">
      <c r="A10" t="inlineStr">
        <is>
          <t>Loan term (months)</t>
        </is>
      </c>
      <c r="B10" s="3" t="n">
        <v>72</v>
      </c>
    </row>
    <row r="11">
      <c r="A11" t="inlineStr">
        <is>
          <t>Insurance per month ($)</t>
        </is>
      </c>
      <c r="B11" s="3" t="n">
        <v>150</v>
      </c>
    </row>
    <row r="12">
      <c r="A12" t="inlineStr">
        <is>
          <t>Fuel/charging per month ($)</t>
        </is>
      </c>
      <c r="B12" s="3" t="n">
        <v>160</v>
      </c>
    </row>
    <row r="13">
      <c r="A13" t="inlineStr">
        <is>
          <t>Maintenance per month ($)</t>
        </is>
      </c>
      <c r="B13" s="3" t="n">
        <v>80</v>
      </c>
    </row>
    <row r="14">
      <c r="A14" t="inlineStr">
        <is>
          <t>Assumed annual return if invested instead (%) - your assumption</t>
        </is>
      </c>
      <c r="B14" s="3" t="n">
        <v>7</v>
      </c>
    </row>
    <row r="15">
      <c r="A15" t="inlineStr">
        <is>
          <t>Years to compare</t>
        </is>
      </c>
      <c r="B15" s="3" t="n">
        <v>30</v>
      </c>
    </row>
    <row r="18">
      <c r="A18" s="4" t="inlineStr">
        <is>
          <t>Amount financed ($)</t>
        </is>
      </c>
      <c r="B18" s="5">
        <f>B4+B4*B7/100+B8-B5-B6</f>
        <v/>
      </c>
    </row>
    <row r="19">
      <c r="A19" s="4" t="inlineStr">
        <is>
          <t>Monthly loan payment ($)</t>
        </is>
      </c>
      <c r="B19" s="5">
        <f>IF(B9=0,B18/B10,PMT(B9/100/12,B10,-B18))</f>
        <v/>
      </c>
    </row>
    <row r="20">
      <c r="A20" s="4" t="inlineStr">
        <is>
          <t>Total of loan payments ($)</t>
        </is>
      </c>
      <c r="B20" s="5">
        <f>B19*B10</f>
        <v/>
      </c>
    </row>
    <row r="21">
      <c r="A21" s="4" t="inlineStr">
        <is>
          <t>Total interest paid ($)</t>
        </is>
      </c>
      <c r="B21" s="5">
        <f>B20-B18</f>
        <v/>
      </c>
    </row>
    <row r="22">
      <c r="A22" s="4" t="inlineStr">
        <is>
          <t>All-in cost of the car over the loan ($)</t>
        </is>
      </c>
      <c r="B22" s="5">
        <f>B5+B6+B20</f>
        <v/>
      </c>
    </row>
    <row r="23">
      <c r="A23" s="4" t="inlineStr">
        <is>
          <t>Monthly cost to own incl. insurance, fuel, maintenance ($)</t>
        </is>
      </c>
      <c r="B23" s="5">
        <f>B19+B11+B12+B13</f>
        <v/>
      </c>
    </row>
    <row r="24">
      <c r="A24" s="4" t="inlineStr">
        <is>
          <t>Total cost to own over the loan term ($)</t>
        </is>
      </c>
      <c r="B24" s="5">
        <f>B23*B10</f>
        <v/>
      </c>
    </row>
    <row r="25">
      <c r="A25" s="4" t="inlineStr">
        <is>
          <t>If the loan payment were invested monthly for the loan term, value at end of term ($)</t>
        </is>
      </c>
      <c r="B25" s="5">
        <f>FV(B14/100/12,B10,-B19)</f>
        <v/>
      </c>
    </row>
    <row r="26">
      <c r="A26" s="4" t="inlineStr">
        <is>
          <t>...then left to grow until 'Years to compare' ($)</t>
        </is>
      </c>
      <c r="B26" s="5">
        <f>B25*(1+B14/100/12)^MAX(0,B15*12-B10)</f>
        <v/>
      </c>
    </row>
    <row r="27">
      <c r="A27" s="4" t="inlineStr">
        <is>
          <t>If you repeat this car loan back-to-back for 'Years to compare', total payments ($)</t>
        </is>
      </c>
      <c r="B27" s="5">
        <f>B19*B15*12</f>
        <v/>
      </c>
    </row>
    <row r="29">
      <c r="A29" s="2" t="inlineStr">
        <is>
          <t>Formulas: PMT = standard amortizing loan payment; FV = monthly contributions compounded monthly at YOUR assumed rate. Real returns vary and can be negative.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Same car, different loan terms (uses Car True Cost inputs)</t>
        </is>
      </c>
    </row>
    <row r="2">
      <c r="A2" s="2" t="inlineStr">
        <is>
          <t>Educational only. Not financial advice. Figures are illustrations from your own inputs; no returns or savings are guaranteed.</t>
        </is>
      </c>
    </row>
    <row r="4">
      <c r="A4" s="4" t="inlineStr">
        <is>
          <t>Term (months)</t>
        </is>
      </c>
      <c r="B4" s="4" t="inlineStr">
        <is>
          <t>Monthly payment</t>
        </is>
      </c>
      <c r="C4" s="4" t="inlineStr">
        <is>
          <t>Total paid</t>
        </is>
      </c>
      <c r="D4" s="4" t="inlineStr">
        <is>
          <t>Total interest</t>
        </is>
      </c>
    </row>
    <row r="5">
      <c r="A5" s="3" t="n">
        <v>36</v>
      </c>
      <c r="B5" s="6">
        <f>IF('Car True Cost'!B9=0,'Car True Cost'!B18/A5,PMT('Car True Cost'!B9/100/12,A5,-'Car True Cost'!B18))</f>
        <v/>
      </c>
      <c r="C5" s="6">
        <f>B5*A5</f>
        <v/>
      </c>
      <c r="D5" s="6">
        <f>C5-'Car True Cost'!B18</f>
        <v/>
      </c>
    </row>
    <row r="6">
      <c r="A6" s="3" t="n">
        <v>48</v>
      </c>
      <c r="B6" s="6">
        <f>IF('Car True Cost'!B9=0,'Car True Cost'!B18/A6,PMT('Car True Cost'!B9/100/12,A6,-'Car True Cost'!B18))</f>
        <v/>
      </c>
      <c r="C6" s="6">
        <f>B6*A6</f>
        <v/>
      </c>
      <c r="D6" s="6">
        <f>C6-'Car True Cost'!B18</f>
        <v/>
      </c>
    </row>
    <row r="7">
      <c r="A7" s="3" t="n">
        <v>60</v>
      </c>
      <c r="B7" s="6">
        <f>IF('Car True Cost'!B9=0,'Car True Cost'!B18/A7,PMT('Car True Cost'!B9/100/12,A7,-'Car True Cost'!B18))</f>
        <v/>
      </c>
      <c r="C7" s="6">
        <f>B7*A7</f>
        <v/>
      </c>
      <c r="D7" s="6">
        <f>C7-'Car True Cost'!B18</f>
        <v/>
      </c>
    </row>
    <row r="8">
      <c r="A8" s="3" t="n">
        <v>72</v>
      </c>
      <c r="B8" s="6">
        <f>IF('Car True Cost'!B9=0,'Car True Cost'!B18/A8,PMT('Car True Cost'!B9/100/12,A8,-'Car True Cost'!B18))</f>
        <v/>
      </c>
      <c r="C8" s="6">
        <f>B8*A8</f>
        <v/>
      </c>
      <c r="D8" s="6">
        <f>C8-'Car True Cost'!B18</f>
        <v/>
      </c>
    </row>
    <row r="9">
      <c r="A9" s="3" t="n">
        <v>84</v>
      </c>
      <c r="B9" s="6">
        <f>IF('Car True Cost'!B9=0,'Car True Cost'!B18/A9,PMT('Car True Cost'!B9/100/12,A9,-'Car True Cost'!B18))</f>
        <v/>
      </c>
      <c r="C9" s="6">
        <f>B9*A9</f>
        <v/>
      </c>
      <c r="D9" s="6">
        <f>C9-'Car True Cost'!B18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Personal Inflation Price Check: compare your own statements</t>
        </is>
      </c>
    </row>
    <row r="2">
      <c r="A2" s="2" t="inlineStr">
        <is>
          <t>Educational only. Not financial advice. Figures are illustrations from your own inputs; no returns or savings are guaranteed.</t>
        </is>
      </c>
    </row>
    <row r="4">
      <c r="A4" s="4" t="inlineStr">
        <is>
          <t>Item</t>
        </is>
      </c>
      <c r="B4" s="4" t="inlineStr">
        <is>
          <t>Price 12 months ago</t>
        </is>
      </c>
      <c r="C4" s="4" t="inlineStr">
        <is>
          <t>Price now</t>
        </is>
      </c>
      <c r="D4" s="4" t="inlineStr">
        <is>
          <t>% change</t>
        </is>
      </c>
      <c r="E4" s="4" t="inlineStr">
        <is>
          <t>Times bought per month</t>
        </is>
      </c>
      <c r="F4" s="4" t="inlineStr">
        <is>
          <t>Extra cost per month</t>
        </is>
      </c>
    </row>
    <row r="5">
      <c r="A5" t="inlineStr">
        <is>
          <t>Groceries (weekly trip)</t>
        </is>
      </c>
      <c r="B5" s="3" t="n"/>
      <c r="C5" s="3" t="n"/>
      <c r="D5" s="7">
        <f>IF(B5&gt;0,(C5-B5)/B5,"")</f>
        <v/>
      </c>
      <c r="E5" s="3" t="n"/>
      <c r="F5" s="6">
        <f>(C5-B5)*E5</f>
        <v/>
      </c>
    </row>
    <row r="6">
      <c r="A6" t="inlineStr">
        <is>
          <t>Eggs (dozen)</t>
        </is>
      </c>
      <c r="B6" s="3" t="n"/>
      <c r="C6" s="3" t="n"/>
      <c r="D6" s="7">
        <f>IF(B6&gt;0,(C6-B6)/B6,"")</f>
        <v/>
      </c>
      <c r="E6" s="3" t="n"/>
      <c r="F6" s="6">
        <f>(C6-B6)*E6</f>
        <v/>
      </c>
    </row>
    <row r="7">
      <c r="A7" t="inlineStr">
        <is>
          <t>Ground beef (lb)</t>
        </is>
      </c>
      <c r="B7" s="3" t="n"/>
      <c r="C7" s="3" t="n"/>
      <c r="D7" s="7">
        <f>IF(B7&gt;0,(C7-B7)/B7,"")</f>
        <v/>
      </c>
      <c r="E7" s="3" t="n"/>
      <c r="F7" s="6">
        <f>(C7-B7)*E7</f>
        <v/>
      </c>
    </row>
    <row r="8">
      <c r="A8" t="inlineStr">
        <is>
          <t>Eating out (meal)</t>
        </is>
      </c>
      <c r="B8" s="3" t="n"/>
      <c r="C8" s="3" t="n"/>
      <c r="D8" s="7">
        <f>IF(B8&gt;0,(C8-B8)/B8,"")</f>
        <v/>
      </c>
      <c r="E8" s="3" t="n"/>
      <c r="F8" s="6">
        <f>(C8-B8)*E8</f>
        <v/>
      </c>
    </row>
    <row r="9">
      <c r="A9" t="inlineStr">
        <is>
          <t>Electricity bill</t>
        </is>
      </c>
      <c r="B9" s="3" t="n"/>
      <c r="C9" s="3" t="n"/>
      <c r="D9" s="7">
        <f>IF(B9&gt;0,(C9-B9)/B9,"")</f>
        <v/>
      </c>
      <c r="E9" s="3" t="n"/>
      <c r="F9" s="6">
        <f>(C9-B9)*E9</f>
        <v/>
      </c>
    </row>
    <row r="10">
      <c r="A10" t="inlineStr">
        <is>
          <t>Gasoline (gallon)</t>
        </is>
      </c>
      <c r="B10" s="3" t="n"/>
      <c r="C10" s="3" t="n"/>
      <c r="D10" s="7">
        <f>IF(B10&gt;0,(C10-B10)/B10,"")</f>
        <v/>
      </c>
      <c r="E10" s="3" t="n"/>
      <c r="F10" s="6">
        <f>(C10-B10)*E10</f>
        <v/>
      </c>
    </row>
    <row r="11">
      <c r="A11" t="inlineStr">
        <is>
          <t>Rent / mortgage</t>
        </is>
      </c>
      <c r="B11" s="3" t="n"/>
      <c r="C11" s="3" t="n"/>
      <c r="D11" s="7">
        <f>IF(B11&gt;0,(C11-B11)/B11,"")</f>
        <v/>
      </c>
      <c r="E11" s="3" t="n"/>
      <c r="F11" s="6">
        <f>(C11-B11)*E11</f>
        <v/>
      </c>
    </row>
    <row r="12">
      <c r="A12" t="inlineStr">
        <is>
          <t>Car insurance</t>
        </is>
      </c>
      <c r="B12" s="3" t="n"/>
      <c r="C12" s="3" t="n"/>
      <c r="D12" s="7">
        <f>IF(B12&gt;0,(C12-B12)/B12,"")</f>
        <v/>
      </c>
      <c r="E12" s="3" t="n"/>
      <c r="F12" s="6">
        <f>(C12-B12)*E12</f>
        <v/>
      </c>
    </row>
    <row r="13">
      <c r="A13" t="inlineStr">
        <is>
          <t>Phone / internet</t>
        </is>
      </c>
      <c r="B13" s="3" t="n"/>
      <c r="C13" s="3" t="n"/>
      <c r="D13" s="7">
        <f>IF(B13&gt;0,(C13-B13)/B13,"")</f>
        <v/>
      </c>
      <c r="E13" s="3" t="n"/>
      <c r="F13" s="6">
        <f>(C13-B13)*E13</f>
        <v/>
      </c>
    </row>
    <row r="14">
      <c r="A14" t="inlineStr">
        <is>
          <t>Other</t>
        </is>
      </c>
      <c r="B14" s="3" t="n"/>
      <c r="C14" s="3" t="n"/>
      <c r="D14" s="7">
        <f>IF(B14&gt;0,(C14-B14)/B14,"")</f>
        <v/>
      </c>
      <c r="E14" s="3" t="n"/>
      <c r="F14" s="6">
        <f>(C14-B14)*E14</f>
        <v/>
      </c>
    </row>
    <row r="16">
      <c r="A16" s="4" t="inlineStr">
        <is>
          <t>Total extra per month</t>
        </is>
      </c>
      <c r="F16" s="6">
        <f>SUM(F5:F14)</f>
        <v/>
      </c>
    </row>
    <row r="17">
      <c r="A17" s="4" t="inlineStr">
        <is>
          <t>Total extra per year</t>
        </is>
      </c>
      <c r="F17" s="6">
        <f>F16*12</f>
        <v/>
      </c>
    </row>
    <row r="19">
      <c r="A19" s="4" t="inlineStr">
        <is>
          <t>Personal weighted inflation (this list)</t>
        </is>
      </c>
      <c r="F19" s="7">
        <f>IF(SUMPRODUCT(B5:B14,E5:E14)&gt;0,SUMPRODUCT(C5:C14,E5:E14)/SUMPRODUCT(B5:B14,E5:E14)-1,"")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Monthly Budget: plan vs actual</t>
        </is>
      </c>
    </row>
    <row r="2">
      <c r="A2" s="2" t="inlineStr">
        <is>
          <t>Educational only. Not financial advice. Figures are illustrations from your own inputs; no returns or savings are guaranteed.</t>
        </is>
      </c>
    </row>
    <row r="4">
      <c r="A4" t="inlineStr">
        <is>
          <t>Take-home income this month ($)</t>
        </is>
      </c>
      <c r="B4" s="3" t="n"/>
    </row>
    <row r="6">
      <c r="A6" s="4" t="inlineStr">
        <is>
          <t>Category</t>
        </is>
      </c>
      <c r="B6" s="4" t="inlineStr">
        <is>
          <t>Planned</t>
        </is>
      </c>
      <c r="C6" s="4" t="inlineStr">
        <is>
          <t>Actual</t>
        </is>
      </c>
      <c r="D6" s="4" t="inlineStr">
        <is>
          <t>Difference (Planned - Actual)</t>
        </is>
      </c>
    </row>
    <row r="7">
      <c r="A7" t="inlineStr">
        <is>
          <t>Housing</t>
        </is>
      </c>
      <c r="B7" s="3" t="n"/>
      <c r="C7" s="3" t="n"/>
      <c r="D7">
        <f>B7-C7</f>
        <v/>
      </c>
    </row>
    <row r="8">
      <c r="A8" t="inlineStr">
        <is>
          <t>Utilities</t>
        </is>
      </c>
      <c r="B8" s="3" t="n"/>
      <c r="C8" s="3" t="n"/>
      <c r="D8">
        <f>B8-C8</f>
        <v/>
      </c>
    </row>
    <row r="9">
      <c r="A9" t="inlineStr">
        <is>
          <t>Groceries</t>
        </is>
      </c>
      <c r="B9" s="3" t="n"/>
      <c r="C9" s="3" t="n"/>
      <c r="D9">
        <f>B9-C9</f>
        <v/>
      </c>
    </row>
    <row r="10">
      <c r="A10" t="inlineStr">
        <is>
          <t>Transportation (car payment, fuel, insurance)</t>
        </is>
      </c>
      <c r="B10" s="3" t="n"/>
      <c r="C10" s="3" t="n"/>
      <c r="D10">
        <f>B10-C10</f>
        <v/>
      </c>
    </row>
    <row r="11">
      <c r="A11" t="inlineStr">
        <is>
          <t>Debt payments</t>
        </is>
      </c>
      <c r="B11" s="3" t="n"/>
      <c r="C11" s="3" t="n"/>
      <c r="D11">
        <f>B11-C11</f>
        <v/>
      </c>
    </row>
    <row r="12">
      <c r="A12" t="inlineStr">
        <is>
          <t>Savings / emergency fund</t>
        </is>
      </c>
      <c r="B12" s="3" t="n"/>
      <c r="C12" s="3" t="n"/>
      <c r="D12">
        <f>B12-C12</f>
        <v/>
      </c>
    </row>
    <row r="13">
      <c r="A13" t="inlineStr">
        <is>
          <t>Retirement</t>
        </is>
      </c>
      <c r="B13" s="3" t="n"/>
      <c r="C13" s="3" t="n"/>
      <c r="D13">
        <f>B13-C13</f>
        <v/>
      </c>
    </row>
    <row r="14">
      <c r="A14" t="inlineStr">
        <is>
          <t>Insurance (health, life)</t>
        </is>
      </c>
      <c r="B14" s="3" t="n"/>
      <c r="C14" s="3" t="n"/>
      <c r="D14">
        <f>B14-C14</f>
        <v/>
      </c>
    </row>
    <row r="15">
      <c r="A15" t="inlineStr">
        <is>
          <t>Phone / internet</t>
        </is>
      </c>
      <c r="B15" s="3" t="n"/>
      <c r="C15" s="3" t="n"/>
      <c r="D15">
        <f>B15-C15</f>
        <v/>
      </c>
    </row>
    <row r="16">
      <c r="A16" t="inlineStr">
        <is>
          <t>Subscriptions</t>
        </is>
      </c>
      <c r="B16" s="3" t="n"/>
      <c r="C16" s="3" t="n"/>
      <c r="D16">
        <f>B16-C16</f>
        <v/>
      </c>
    </row>
    <row r="17">
      <c r="A17" t="inlineStr">
        <is>
          <t>Eating out / fun</t>
        </is>
      </c>
      <c r="B17" s="3" t="n"/>
      <c r="C17" s="3" t="n"/>
      <c r="D17">
        <f>B17-C17</f>
        <v/>
      </c>
    </row>
    <row r="18">
      <c r="A18" t="inlineStr">
        <is>
          <t>Giving</t>
        </is>
      </c>
      <c r="B18" s="3" t="n"/>
      <c r="C18" s="3" t="n"/>
      <c r="D18">
        <f>B18-C18</f>
        <v/>
      </c>
    </row>
    <row r="19">
      <c r="A19" t="inlineStr">
        <is>
          <t>Other</t>
        </is>
      </c>
      <c r="B19" s="3" t="n"/>
      <c r="C19" s="3" t="n"/>
      <c r="D19">
        <f>B19-C19</f>
        <v/>
      </c>
    </row>
    <row r="20">
      <c r="A20" s="4" t="inlineStr">
        <is>
          <t>Totals</t>
        </is>
      </c>
      <c r="B20">
        <f>SUM(B7:B19)</f>
        <v/>
      </c>
      <c r="C20">
        <f>SUM(C7:C19)</f>
        <v/>
      </c>
      <c r="D20">
        <f>SUM(D7:D19)</f>
        <v/>
      </c>
    </row>
    <row r="21">
      <c r="A21" s="4" t="inlineStr">
        <is>
          <t>Left over after planned spending</t>
        </is>
      </c>
      <c r="B21">
        <f>B4-B20</f>
        <v/>
      </c>
    </row>
    <row r="22">
      <c r="A22" s="4" t="inlineStr">
        <is>
          <t>Left over after actual spending</t>
        </is>
      </c>
      <c r="C22">
        <f>B4-C20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2026-10-19T15:21:21Z</dcterms:created>
  <dcterms:modified xmlns:dcterms="http://purl.org/dc/terms/" xmlns:xsi="http://www.w3.org/2001/XMLSchema-instance" xsi:type="dcterms:W3CDTF">2026-10-19T15:21:21Z</dcterms:modified>
</cp:coreProperties>
</file>